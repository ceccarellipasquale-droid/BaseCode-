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omparativa Proveedore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<sst xmlns="http://schemas.openxmlformats.org/spreadsheetml/2006/main" count="73" uniqueCount="71">
  <si>
    <t xml:space="preserve">GlowRitual — Comparativa de Proveedores (Alibaba)</t>
  </si>
  <si>
    <t xml:space="preserve">Cómo usar este archivo</t>
  </si>
  <si>
    <t xml:space="preserve">1. Ve a la hoja 'Comparativa Proveedores'.</t>
  </si>
  <si>
    <t xml:space="preserve">2. Escribe/edita solo las celdas en AZUL (son las que tú llenas con la info que te den los proveedores).</t>
  </si>
  <si>
    <t xml:space="preserve">3. Las celdas en NEGRO se calculan solas con fórmulas — no las edites a mano.</t>
  </si>
  <si>
    <t xml:space="preserve">4. Las celdas con fondo AMARILLO son criterios clave que definen el 'Puntaje' y el 'Ganador' — puedes ajustarlas si cambian tus prioridades.</t>
  </si>
  <si>
    <t xml:space="preserve">5. Agrega una fila por cada proveedor que contactes (mínimo 10-20, según la guía de contacto).</t>
  </si>
  <si>
    <t xml:space="preserve">6. Revisa la hoja 'Resumen' — ahí se calcula automáticamente cuál proveedor conviene más según precio, MOQ y confiabilidad.</t>
  </si>
  <si>
    <t xml:space="preserve">Leyenda de colores</t>
  </si>
  <si>
    <t xml:space="preserve">   Texto azul = campo que tú llenas (input)</t>
  </si>
  <si>
    <t xml:space="preserve">   Texto negro = fórmula, no tocar</t>
  </si>
  <si>
    <t xml:space="preserve">   Fondo amarillo = criterio/parámetro clave</t>
  </si>
  <si>
    <t xml:space="preserve">   Fondo verde = cumple criterio mínimo</t>
  </si>
  <si>
    <t xml:space="preserve">   Fondo rojo = alerta / no cumple (posible red flag)</t>
  </si>
  <si>
    <t xml:space="preserve">Criterios de decisión (recordatorio rápido)</t>
  </si>
  <si>
    <t xml:space="preserve">• Verified Supplier + Trade Assurance activados = requisito mínimo, no negociable.</t>
  </si>
  <si>
    <t xml:space="preserve">• Compara mínimo 10-20 proveedores del mismo producto antes de decidir.</t>
  </si>
  <si>
    <t xml:space="preserve">• Un precio 40-50% más barato que el resto casi siempre es señal de fraude, no de buen trato.</t>
  </si>
  <si>
    <t xml:space="preserve">• Nunca pagues a cuenta personal ni en criptomonedas — usa Trade Assurance de Alibaba.</t>
  </si>
  <si>
    <t xml:space="preserve">• Pide siempre muestra pagada antes de cualquier pedido grande.</t>
  </si>
  <si>
    <t xml:space="preserve">• El 'Ganador' de la hoja Resumen es una sugerencia automática — la decisión final la haces tú viendo también comunicación, certificaciones y si accedieron a videollamada.</t>
  </si>
  <si>
    <t xml:space="preserve">Los 7 nombres precargados en la hoja de comparativa son fábricas de mascarillas LED encontradas en Alibaba (con OEM/ODM); verifícalas tú mismo (Verified Supplier, Trade Assurance, años, reseñas) antes de escribirles.</t>
  </si>
  <si>
    <t xml:space="preserve">Comparativa de Proveedores — GlowRitual (LED Face Mask)</t>
  </si>
  <si>
    <t xml:space="preserve">Llena las celdas azules con la información que te den los proveedores. Las columnas negras se calculan solas.</t>
  </si>
  <si>
    <t xml:space="preserve">Parámetros de decisión</t>
  </si>
  <si>
    <t xml:space="preserve">Proveedor / Fábrica</t>
  </si>
  <si>
    <t xml:space="preserve">Link Alibaba</t>
  </si>
  <si>
    <t xml:space="preserve">Verified Supplier (Sí/No)</t>
  </si>
  <si>
    <t xml:space="preserve">Trade Assurance (Sí/No)</t>
  </si>
  <si>
    <t xml:space="preserve">Años en Alibaba</t>
  </si>
  <si>
    <t xml:space="preserve">Tasa de respuesta (%)</t>
  </si>
  <si>
    <t xml:space="preserve">Precio FOB @ MOQ (USD)</t>
  </si>
  <si>
    <t xml:space="preserve">Precio @ 500 uds (USD)</t>
  </si>
  <si>
    <t xml:space="preserve">Precio @ 1000 uds (USD)</t>
  </si>
  <si>
    <t xml:space="preserve">MOQ (unidades)</t>
  </si>
  <si>
    <t xml:space="preserve">MOQ Private Label</t>
  </si>
  <si>
    <t xml:space="preserve">Certificaciones (CE/RoHS/FCC)</t>
  </si>
  <si>
    <t xml:space="preserve">Costo muestra (USD)</t>
  </si>
  <si>
    <t xml:space="preserve">Tiempo producción (días)</t>
  </si>
  <si>
    <t xml:space="preserve">Tiempo envío (días)</t>
  </si>
  <si>
    <t xml:space="preserve">Lead time total (días)</t>
  </si>
  <si>
    <t xml:space="preserve">Videollamada realizada (Sí/No)</t>
  </si>
  <si>
    <t xml:space="preserve">Calidad de comunicación (1-5)</t>
  </si>
  <si>
    <t xml:space="preserve">Notas / Red flags</t>
  </si>
  <si>
    <t xml:space="preserve">Cumple mínimos</t>
  </si>
  <si>
    <t xml:space="preserve">Puntaje</t>
  </si>
  <si>
    <t xml:space="preserve">Precio objetivo máx. por unidad (USD)</t>
  </si>
  <si>
    <t xml:space="preserve">EJEMPLO — Proveedor Modelo Co., Ltd.</t>
  </si>
  <si>
    <t xml:space="preserve">https://www.alibaba.com/product-detail/example</t>
  </si>
  <si>
    <t xml:space="preserve">Sí</t>
  </si>
  <si>
    <t xml:space="preserve">CE, RoHS, FCC</t>
  </si>
  <si>
    <t xml:space="preserve">Respondió rápido, mandó fotos de fábrica reales</t>
  </si>
  <si>
    <t xml:space="preserve">MOQ máximo aceptable (unidades)</t>
  </si>
  <si>
    <t xml:space="preserve">Shenzhen GLPE Medical Device Co., Ltd.</t>
  </si>
  <si>
    <t xml:space="preserve">Lead time máx. aceptable (días)</t>
  </si>
  <si>
    <t xml:space="preserve">Shenzhen Sungrow Led Technology Co., Ltd.</t>
  </si>
  <si>
    <t xml:space="preserve">Comunicación mínima aceptable (1-5)</t>
  </si>
  <si>
    <t xml:space="preserve">Shenzhen Sunsred Technology Co., Ltd.</t>
  </si>
  <si>
    <t xml:space="preserve">Shenzhen Azure Technology Co., Ltd.</t>
  </si>
  <si>
    <t xml:space="preserve">Shenzhen Perfect Idea Tech Co., Ltd.</t>
  </si>
  <si>
    <t xml:space="preserve">Shenzhen Andy Photoelectric Technology Co., Ltd.</t>
  </si>
  <si>
    <t xml:space="preserve">Shenzhen Xiazhifeng Electronic Co., Ltd.</t>
  </si>
  <si>
    <t xml:space="preserve">Resumen — Decisión de Proveedor</t>
  </si>
  <si>
    <t xml:space="preserve">Se actualiza automáticamente según la hoja 'Comparativa Proveedores'.</t>
  </si>
  <si>
    <t xml:space="preserve">Proveedores contactados</t>
  </si>
  <si>
    <t xml:space="preserve">Proveedores que cumplen mínimos</t>
  </si>
  <si>
    <t xml:space="preserve">Precio FOB más bajo encontrado (USD)</t>
  </si>
  <si>
    <t xml:space="preserve">Proveedor con mejor puntaje (ganador sugerido)</t>
  </si>
  <si>
    <t xml:space="preserve">Puntaje del ganador</t>
  </si>
  <si>
    <t xml:space="preserve">Próximo paso recomendado</t>
  </si>
  <si>
    <t xml:space="preserve">Pide muestra pagada al proveedor con mejor puntaje. No hagas pedido grande sin recibir y aprobar la muestra física.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</si>
</sst>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"/>
    <numFmt numFmtId="166" formatCode="0\%"/>
    <numFmt numFmtId="167" formatCode="\$#,##0.00;&quot;($&quot;#,##0.00\);\-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sz val="11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1F2937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FFFFF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1FAE5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22.05" hidden="false" customHeight="false" outlineLevel="0" collapsed="false">
      <c r="A1" s="1" t="s">
        <v>0</v>
      </c>
    </row>
    <row r="3" customFormat="false" ht="16.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26.8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1" customFormat="false" ht="16.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7" t="s">
        <v>12</v>
      </c>
    </row>
    <row r="16" customFormat="false" ht="15" hidden="false" customHeight="false" outlineLevel="0" collapsed="false">
      <c r="A16" s="8" t="s">
        <v>13</v>
      </c>
    </row>
    <row r="18" customFormat="false" ht="16.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26.85" hidden="false" customHeight="false" outlineLevel="0" collapsed="false">
      <c r="A24" s="3" t="s">
        <v>20</v>
      </c>
    </row>
    <row r="26" customFormat="false" ht="22.35" hidden="false" customHeight="false" outlineLevel="0" collapsed="false">
      <c r="A26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9" min="6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6" min="15" style="0" width="12"/>
    <col collapsed="false" customWidth="true" hidden="false" outlineLevel="0" max="18" min="17" style="0" width="14"/>
    <col collapsed="false" customWidth="true" hidden="false" outlineLevel="0" max="19" min="19" style="0" width="34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3" min="23" style="0" width="32"/>
    <col collapsed="false" customWidth="true" hidden="false" outlineLevel="0" max="24" min="24" style="0" width="12"/>
  </cols>
  <sheetData>
    <row r="1" customFormat="false" ht="19.7" hidden="false" customHeight="false" outlineLevel="0" collapsed="false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customFormat="false" ht="15" hidden="false" customHeight="false" outlineLevel="0" collapsed="false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W3" s="12" t="s">
        <v>24</v>
      </c>
    </row>
    <row r="4" customFormat="false" ht="45" hidden="false" customHeight="true" outlineLevel="0" collapsed="false">
      <c r="A4" s="13" t="s">
        <v>25</v>
      </c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13" t="s">
        <v>32</v>
      </c>
      <c r="I4" s="13" t="s">
        <v>33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3" t="s">
        <v>40</v>
      </c>
      <c r="Q4" s="13" t="s">
        <v>41</v>
      </c>
      <c r="R4" s="13" t="s">
        <v>42</v>
      </c>
      <c r="S4" s="13" t="s">
        <v>43</v>
      </c>
      <c r="T4" s="13" t="s">
        <v>44</v>
      </c>
      <c r="U4" s="13" t="s">
        <v>45</v>
      </c>
      <c r="W4" s="14" t="s">
        <v>46</v>
      </c>
      <c r="X4" s="15" t="n">
        <v>12</v>
      </c>
    </row>
    <row r="5" customFormat="false" ht="23.85" hidden="false" customHeight="false" outlineLevel="0" collapsed="false">
      <c r="A5" s="16" t="s">
        <v>47</v>
      </c>
      <c r="B5" s="16" t="s">
        <v>48</v>
      </c>
      <c r="C5" s="16" t="s">
        <v>49</v>
      </c>
      <c r="D5" s="16" t="s">
        <v>49</v>
      </c>
      <c r="E5" s="17" t="n">
        <v>6</v>
      </c>
      <c r="F5" s="18" t="n">
        <v>96</v>
      </c>
      <c r="G5" s="19" t="n">
        <v>9.8</v>
      </c>
      <c r="H5" s="19" t="n">
        <v>8.5</v>
      </c>
      <c r="I5" s="19" t="n">
        <v>7.2</v>
      </c>
      <c r="J5" s="17" t="n">
        <v>50</v>
      </c>
      <c r="K5" s="17" t="n">
        <v>100</v>
      </c>
      <c r="L5" s="16" t="s">
        <v>50</v>
      </c>
      <c r="M5" s="19" t="n">
        <v>35</v>
      </c>
      <c r="N5" s="17" t="n">
        <v>20</v>
      </c>
      <c r="O5" s="17" t="n">
        <v>25</v>
      </c>
      <c r="P5" s="20" t="n">
        <f aca="false">IFERROR(N5+O5,"")</f>
        <v>45</v>
      </c>
      <c r="Q5" s="16" t="s">
        <v>49</v>
      </c>
      <c r="R5" s="16" t="n">
        <v>4</v>
      </c>
      <c r="S5" s="16" t="s">
        <v>51</v>
      </c>
      <c r="T5" s="21" t="str">
        <f aca="false">IF(A5="","",IF(AND(C5="Sí",D5="Sí",IFERROR(G5&lt;=$X$4,FALSE()),IFERROR(J5&lt;=$X$5,FALSE()),IFERROR(P5&lt;=$X$6,FALSE()),IFERROR(R5&gt;=$X$7,FALSE())),"Sí","No"))</f>
        <v>No</v>
      </c>
      <c r="U5" s="22" t="n">
        <f aca="false">IF(A5="","",IFERROR(ROUND((IF(C5="Sí",20,0))+(IF(D5="Sí",20,0))+(IF(G5&gt;0,MAX(0,20-G5),0))+(IF(J5&gt;0,MAX(0,15-(J5/10)),0))+(IF(P5&gt;0,MAX(0,15-(P5/5)),0))+(R5*2),1),0))</f>
        <v>74.2</v>
      </c>
      <c r="W5" s="14" t="s">
        <v>52</v>
      </c>
      <c r="X5" s="15" t="n">
        <v>100</v>
      </c>
    </row>
    <row r="6" customFormat="false" ht="15" hidden="false" customHeight="false" outlineLevel="0" collapsed="false">
      <c r="A6" s="16" t="s">
        <v>53</v>
      </c>
      <c r="B6" s="16"/>
      <c r="C6" s="16"/>
      <c r="D6" s="16"/>
      <c r="E6" s="17"/>
      <c r="F6" s="18"/>
      <c r="G6" s="19"/>
      <c r="H6" s="19"/>
      <c r="I6" s="19"/>
      <c r="J6" s="17"/>
      <c r="K6" s="17"/>
      <c r="L6" s="16"/>
      <c r="M6" s="19"/>
      <c r="N6" s="17"/>
      <c r="O6" s="17"/>
      <c r="P6" s="20" t="n">
        <f aca="false">IFERROR(N6+O6,"")</f>
        <v>0</v>
      </c>
      <c r="Q6" s="16"/>
      <c r="R6" s="16"/>
      <c r="S6" s="16"/>
      <c r="T6" s="21" t="str">
        <f aca="false">IF(A6="","",IF(AND(C6="Sí",D6="Sí",IFERROR(G6&lt;=$X$4,FALSE()),IFERROR(J6&lt;=$X$5,FALSE()),IFERROR(P6&lt;=$X$6,FALSE()),IFERROR(R6&gt;=$X$7,FALSE())),"Sí","No"))</f>
        <v>No</v>
      </c>
      <c r="U6" s="22" t="n">
        <f aca="false">IF(A6="","",IFERROR(ROUND((IF(C6="Sí",20,0))+(IF(D6="Sí",20,0))+(IF(G6&gt;0,MAX(0,20-G6),0))+(IF(J6&gt;0,MAX(0,15-(J6/10)),0))+(IF(P6&gt;0,MAX(0,15-(P6/5)),0))+(R6*2),1),0))</f>
        <v>0</v>
      </c>
      <c r="W6" s="14" t="s">
        <v>54</v>
      </c>
      <c r="X6" s="15" t="n">
        <v>35</v>
      </c>
    </row>
    <row r="7" customFormat="false" ht="15" hidden="false" customHeight="false" outlineLevel="0" collapsed="false">
      <c r="A7" s="16" t="s">
        <v>55</v>
      </c>
      <c r="B7" s="16"/>
      <c r="C7" s="16"/>
      <c r="D7" s="16"/>
      <c r="E7" s="17"/>
      <c r="F7" s="18"/>
      <c r="G7" s="19"/>
      <c r="H7" s="19"/>
      <c r="I7" s="19"/>
      <c r="J7" s="17"/>
      <c r="K7" s="17"/>
      <c r="L7" s="16"/>
      <c r="M7" s="19"/>
      <c r="N7" s="17"/>
      <c r="O7" s="17"/>
      <c r="P7" s="20" t="n">
        <f aca="false">IFERROR(N7+O7,"")</f>
        <v>0</v>
      </c>
      <c r="Q7" s="16"/>
      <c r="R7" s="16"/>
      <c r="S7" s="16"/>
      <c r="T7" s="21" t="str">
        <f aca="false">IF(A7="","",IF(AND(C7="Sí",D7="Sí",IFERROR(G7&lt;=$X$4,FALSE()),IFERROR(J7&lt;=$X$5,FALSE()),IFERROR(P7&lt;=$X$6,FALSE()),IFERROR(R7&gt;=$X$7,FALSE())),"Sí","No"))</f>
        <v>No</v>
      </c>
      <c r="U7" s="22" t="n">
        <f aca="false">IF(A7="","",IFERROR(ROUND((IF(C7="Sí",20,0))+(IF(D7="Sí",20,0))+(IF(G7&gt;0,MAX(0,20-G7),0))+(IF(J7&gt;0,MAX(0,15-(J7/10)),0))+(IF(P7&gt;0,MAX(0,15-(P7/5)),0))+(R7*2),1),0))</f>
        <v>0</v>
      </c>
      <c r="W7" s="14" t="s">
        <v>56</v>
      </c>
      <c r="X7" s="15" t="n">
        <v>3</v>
      </c>
    </row>
    <row r="8" customFormat="false" ht="15" hidden="false" customHeight="false" outlineLevel="0" collapsed="false">
      <c r="A8" s="16" t="s">
        <v>57</v>
      </c>
      <c r="B8" s="16"/>
      <c r="C8" s="16"/>
      <c r="D8" s="16"/>
      <c r="E8" s="17"/>
      <c r="F8" s="18"/>
      <c r="G8" s="19"/>
      <c r="H8" s="19"/>
      <c r="I8" s="19"/>
      <c r="J8" s="17"/>
      <c r="K8" s="17"/>
      <c r="L8" s="16"/>
      <c r="M8" s="19"/>
      <c r="N8" s="17"/>
      <c r="O8" s="17"/>
      <c r="P8" s="20" t="n">
        <f aca="false">IFERROR(N8+O8,"")</f>
        <v>0</v>
      </c>
      <c r="Q8" s="16"/>
      <c r="R8" s="16"/>
      <c r="S8" s="16"/>
      <c r="T8" s="21" t="str">
        <f aca="false">IF(A8="","",IF(AND(C8="Sí",D8="Sí",IFERROR(G8&lt;=$X$4,FALSE()),IFERROR(J8&lt;=$X$5,FALSE()),IFERROR(P8&lt;=$X$6,FALSE()),IFERROR(R8&gt;=$X$7,FALSE())),"Sí","No"))</f>
        <v>No</v>
      </c>
      <c r="U8" s="22" t="n">
        <f aca="false">IF(A8="","",IFERROR(ROUND((IF(C8="Sí",20,0))+(IF(D8="Sí",20,0))+(IF(G8&gt;0,MAX(0,20-G8),0))+(IF(J8&gt;0,MAX(0,15-(J8/10)),0))+(IF(P8&gt;0,MAX(0,15-(P8/5)),0))+(R8*2),1),0))</f>
        <v>0</v>
      </c>
    </row>
    <row r="9" customFormat="false" ht="15" hidden="false" customHeight="false" outlineLevel="0" collapsed="false">
      <c r="A9" s="16" t="s">
        <v>58</v>
      </c>
      <c r="B9" s="16"/>
      <c r="C9" s="16"/>
      <c r="D9" s="16"/>
      <c r="E9" s="17"/>
      <c r="F9" s="18"/>
      <c r="G9" s="19"/>
      <c r="H9" s="19"/>
      <c r="I9" s="19"/>
      <c r="J9" s="17"/>
      <c r="K9" s="17"/>
      <c r="L9" s="16"/>
      <c r="M9" s="19"/>
      <c r="N9" s="17"/>
      <c r="O9" s="17"/>
      <c r="P9" s="20" t="n">
        <f aca="false">IFERROR(N9+O9,"")</f>
        <v>0</v>
      </c>
      <c r="Q9" s="16"/>
      <c r="R9" s="16"/>
      <c r="S9" s="16"/>
      <c r="T9" s="21" t="str">
        <f aca="false">IF(A9="","",IF(AND(C9="Sí",D9="Sí",IFERROR(G9&lt;=$X$4,FALSE()),IFERROR(J9&lt;=$X$5,FALSE()),IFERROR(P9&lt;=$X$6,FALSE()),IFERROR(R9&gt;=$X$7,FALSE())),"Sí","No"))</f>
        <v>No</v>
      </c>
      <c r="U9" s="22" t="n">
        <f aca="false">IF(A9="","",IFERROR(ROUND((IF(C9="Sí",20,0))+(IF(D9="Sí",20,0))+(IF(G9&gt;0,MAX(0,20-G9),0))+(IF(J9&gt;0,MAX(0,15-(J9/10)),0))+(IF(P9&gt;0,MAX(0,15-(P9/5)),0))+(R9*2),1),0))</f>
        <v>0</v>
      </c>
    </row>
    <row r="10" customFormat="false" ht="15" hidden="false" customHeight="false" outlineLevel="0" collapsed="false">
      <c r="A10" s="16" t="s">
        <v>59</v>
      </c>
      <c r="B10" s="16"/>
      <c r="C10" s="16"/>
      <c r="D10" s="16"/>
      <c r="E10" s="17"/>
      <c r="F10" s="18"/>
      <c r="G10" s="19"/>
      <c r="H10" s="19"/>
      <c r="I10" s="19"/>
      <c r="J10" s="17"/>
      <c r="K10" s="17"/>
      <c r="L10" s="16"/>
      <c r="M10" s="19"/>
      <c r="N10" s="17"/>
      <c r="O10" s="17"/>
      <c r="P10" s="20" t="n">
        <f aca="false">IFERROR(N10+O10,"")</f>
        <v>0</v>
      </c>
      <c r="Q10" s="16"/>
      <c r="R10" s="16"/>
      <c r="S10" s="16"/>
      <c r="T10" s="21" t="str">
        <f aca="false">IF(A10="","",IF(AND(C10="Sí",D10="Sí",IFERROR(G10&lt;=$X$4,FALSE()),IFERROR(J10&lt;=$X$5,FALSE()),IFERROR(P10&lt;=$X$6,FALSE()),IFERROR(R10&gt;=$X$7,FALSE())),"Sí","No"))</f>
        <v>No</v>
      </c>
      <c r="U10" s="22" t="n">
        <f aca="false">IF(A10="","",IFERROR(ROUND((IF(C10="Sí",20,0))+(IF(D10="Sí",20,0))+(IF(G10&gt;0,MAX(0,20-G10),0))+(IF(J10&gt;0,MAX(0,15-(J10/10)),0))+(IF(P10&gt;0,MAX(0,15-(P10/5)),0))+(R10*2),1),0))</f>
        <v>0</v>
      </c>
    </row>
    <row r="11" customFormat="false" ht="23.85" hidden="false" customHeight="false" outlineLevel="0" collapsed="false">
      <c r="A11" s="16" t="s">
        <v>60</v>
      </c>
      <c r="B11" s="16"/>
      <c r="C11" s="16"/>
      <c r="D11" s="16"/>
      <c r="E11" s="17"/>
      <c r="F11" s="18"/>
      <c r="G11" s="19"/>
      <c r="H11" s="19"/>
      <c r="I11" s="19"/>
      <c r="J11" s="17"/>
      <c r="K11" s="17"/>
      <c r="L11" s="16"/>
      <c r="M11" s="19"/>
      <c r="N11" s="17"/>
      <c r="O11" s="17"/>
      <c r="P11" s="20" t="n">
        <f aca="false">IFERROR(N11+O11,"")</f>
        <v>0</v>
      </c>
      <c r="Q11" s="16"/>
      <c r="R11" s="16"/>
      <c r="S11" s="16"/>
      <c r="T11" s="21" t="str">
        <f aca="false">IF(A11="","",IF(AND(C11="Sí",D11="Sí",IFERROR(G11&lt;=$X$4,FALSE()),IFERROR(J11&lt;=$X$5,FALSE()),IFERROR(P11&lt;=$X$6,FALSE()),IFERROR(R11&gt;=$X$7,FALSE())),"Sí","No"))</f>
        <v>No</v>
      </c>
      <c r="U11" s="22" t="n">
        <f aca="false">IF(A11="","",IFERROR(ROUND((IF(C11="Sí",20,0))+(IF(D11="Sí",20,0))+(IF(G11&gt;0,MAX(0,20-G11),0))+(IF(J11&gt;0,MAX(0,15-(J11/10)),0))+(IF(P11&gt;0,MAX(0,15-(P11/5)),0))+(R11*2),1),0))</f>
        <v>0</v>
      </c>
    </row>
    <row r="12" customFormat="false" ht="15" hidden="false" customHeight="false" outlineLevel="0" collapsed="false">
      <c r="A12" s="16" t="s">
        <v>61</v>
      </c>
      <c r="B12" s="16"/>
      <c r="C12" s="16"/>
      <c r="D12" s="16"/>
      <c r="E12" s="17"/>
      <c r="F12" s="18"/>
      <c r="G12" s="19"/>
      <c r="H12" s="19"/>
      <c r="I12" s="19"/>
      <c r="J12" s="17"/>
      <c r="K12" s="17"/>
      <c r="L12" s="16"/>
      <c r="M12" s="19"/>
      <c r="N12" s="17"/>
      <c r="O12" s="17"/>
      <c r="P12" s="20" t="n">
        <f aca="false">IFERROR(N12+O12,"")</f>
        <v>0</v>
      </c>
      <c r="Q12" s="16"/>
      <c r="R12" s="16"/>
      <c r="S12" s="16"/>
      <c r="T12" s="21" t="str">
        <f aca="false">IF(A12="","",IF(AND(C12="Sí",D12="Sí",IFERROR(G12&lt;=$X$4,FALSE()),IFERROR(J12&lt;=$X$5,FALSE()),IFERROR(P12&lt;=$X$6,FALSE()),IFERROR(R12&gt;=$X$7,FALSE())),"Sí","No"))</f>
        <v>No</v>
      </c>
      <c r="U12" s="22" t="n">
        <f aca="false">IF(A12="","",IFERROR(ROUND((IF(C12="Sí",20,0))+(IF(D12="Sí",20,0))+(IF(G12&gt;0,MAX(0,20-G12),0))+(IF(J12&gt;0,MAX(0,15-(J12/10)),0))+(IF(P12&gt;0,MAX(0,15-(P12/5)),0))+(R12*2),1),0))</f>
        <v>0</v>
      </c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8"/>
      <c r="G13" s="19"/>
      <c r="H13" s="19"/>
      <c r="I13" s="19"/>
      <c r="J13" s="17"/>
      <c r="K13" s="17"/>
      <c r="L13" s="16"/>
      <c r="M13" s="19"/>
      <c r="N13" s="17"/>
      <c r="O13" s="17"/>
      <c r="P13" s="20" t="n">
        <f aca="false">IFERROR(N13+O13,"")</f>
        <v>0</v>
      </c>
      <c r="Q13" s="16"/>
      <c r="R13" s="16"/>
      <c r="S13" s="16"/>
      <c r="T13" s="21" t="str">
        <f aca="false">IF(A13="","",IF(AND(C13="Sí",D13="Sí",IFERROR(G13&lt;=$X$4,FALSE()),IFERROR(J13&lt;=$X$5,FALSE()),IFERROR(P13&lt;=$X$6,FALSE()),IFERROR(R13&gt;=$X$7,FALSE())),"Sí","No"))</f>
        <v/>
      </c>
      <c r="U13" s="22" t="str">
        <f aca="false">IF(A13="","",IFERROR(ROUND((IF(C13="Sí",20,0))+(IF(D13="Sí",20,0))+(IF(G13&gt;0,MAX(0,20-G13),0))+(IF(J13&gt;0,MAX(0,15-(J13/10)),0))+(IF(P13&gt;0,MAX(0,15-(P13/5)),0))+(R13*2),1),0))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8"/>
      <c r="G14" s="19"/>
      <c r="H14" s="19"/>
      <c r="I14" s="19"/>
      <c r="J14" s="17"/>
      <c r="K14" s="17"/>
      <c r="L14" s="16"/>
      <c r="M14" s="19"/>
      <c r="N14" s="17"/>
      <c r="O14" s="17"/>
      <c r="P14" s="20" t="n">
        <f aca="false">IFERROR(N14+O14,"")</f>
        <v>0</v>
      </c>
      <c r="Q14" s="16"/>
      <c r="R14" s="16"/>
      <c r="S14" s="16"/>
      <c r="T14" s="21" t="str">
        <f aca="false">IF(A14="","",IF(AND(C14="Sí",D14="Sí",IFERROR(G14&lt;=$X$4,FALSE()),IFERROR(J14&lt;=$X$5,FALSE()),IFERROR(P14&lt;=$X$6,FALSE()),IFERROR(R14&gt;=$X$7,FALSE())),"Sí","No"))</f>
        <v/>
      </c>
      <c r="U14" s="22" t="str">
        <f aca="false">IF(A14="","",IFERROR(ROUND((IF(C14="Sí",20,0))+(IF(D14="Sí",20,0))+(IF(G14&gt;0,MAX(0,20-G14),0))+(IF(J14&gt;0,MAX(0,15-(J14/10)),0))+(IF(P14&gt;0,MAX(0,15-(P14/5)),0))+(R14*2),1),0))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8"/>
      <c r="G15" s="19"/>
      <c r="H15" s="19"/>
      <c r="I15" s="19"/>
      <c r="J15" s="17"/>
      <c r="K15" s="17"/>
      <c r="L15" s="16"/>
      <c r="M15" s="19"/>
      <c r="N15" s="17"/>
      <c r="O15" s="17"/>
      <c r="P15" s="20" t="n">
        <f aca="false">IFERROR(N15+O15,"")</f>
        <v>0</v>
      </c>
      <c r="Q15" s="16"/>
      <c r="R15" s="16"/>
      <c r="S15" s="16"/>
      <c r="T15" s="21" t="str">
        <f aca="false">IF(A15="","",IF(AND(C15="Sí",D15="Sí",IFERROR(G15&lt;=$X$4,FALSE()),IFERROR(J15&lt;=$X$5,FALSE()),IFERROR(P15&lt;=$X$6,FALSE()),IFERROR(R15&gt;=$X$7,FALSE())),"Sí","No"))</f>
        <v/>
      </c>
      <c r="U15" s="22" t="str">
        <f aca="false">IF(A15="","",IFERROR(ROUND((IF(C15="Sí",20,0))+(IF(D15="Sí",20,0))+(IF(G15&gt;0,MAX(0,20-G15),0))+(IF(J15&gt;0,MAX(0,15-(J15/10)),0))+(IF(P15&gt;0,MAX(0,15-(P15/5)),0))+(R15*2),1),0))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8"/>
      <c r="G16" s="19"/>
      <c r="H16" s="19"/>
      <c r="I16" s="19"/>
      <c r="J16" s="17"/>
      <c r="K16" s="17"/>
      <c r="L16" s="16"/>
      <c r="M16" s="19"/>
      <c r="N16" s="17"/>
      <c r="O16" s="17"/>
      <c r="P16" s="20" t="n">
        <f aca="false">IFERROR(N16+O16,"")</f>
        <v>0</v>
      </c>
      <c r="Q16" s="16"/>
      <c r="R16" s="16"/>
      <c r="S16" s="16"/>
      <c r="T16" s="21" t="str">
        <f aca="false">IF(A16="","",IF(AND(C16="Sí",D16="Sí",IFERROR(G16&lt;=$X$4,FALSE()),IFERROR(J16&lt;=$X$5,FALSE()),IFERROR(P16&lt;=$X$6,FALSE()),IFERROR(R16&gt;=$X$7,FALSE())),"Sí","No"))</f>
        <v/>
      </c>
      <c r="U16" s="22" t="str">
        <f aca="false">IF(A16="","",IFERROR(ROUND((IF(C16="Sí",20,0))+(IF(D16="Sí",20,0))+(IF(G16&gt;0,MAX(0,20-G16),0))+(IF(J16&gt;0,MAX(0,15-(J16/10)),0))+(IF(P16&gt;0,MAX(0,15-(P16/5)),0))+(R16*2),1),0))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8"/>
      <c r="G17" s="19"/>
      <c r="H17" s="19"/>
      <c r="I17" s="19"/>
      <c r="J17" s="17"/>
      <c r="K17" s="17"/>
      <c r="L17" s="16"/>
      <c r="M17" s="19"/>
      <c r="N17" s="17"/>
      <c r="O17" s="17"/>
      <c r="P17" s="20" t="n">
        <f aca="false">IFERROR(N17+O17,"")</f>
        <v>0</v>
      </c>
      <c r="Q17" s="16"/>
      <c r="R17" s="16"/>
      <c r="S17" s="16"/>
      <c r="T17" s="21" t="str">
        <f aca="false">IF(A17="","",IF(AND(C17="Sí",D17="Sí",IFERROR(G17&lt;=$X$4,FALSE()),IFERROR(J17&lt;=$X$5,FALSE()),IFERROR(P17&lt;=$X$6,FALSE()),IFERROR(R17&gt;=$X$7,FALSE())),"Sí","No"))</f>
        <v/>
      </c>
      <c r="U17" s="22" t="str">
        <f aca="false">IF(A17="","",IFERROR(ROUND((IF(C17="Sí",20,0))+(IF(D17="Sí",20,0))+(IF(G17&gt;0,MAX(0,20-G17),0))+(IF(J17&gt;0,MAX(0,15-(J17/10)),0))+(IF(P17&gt;0,MAX(0,15-(P17/5)),0))+(R17*2),1),0))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8"/>
      <c r="G18" s="19"/>
      <c r="H18" s="19"/>
      <c r="I18" s="19"/>
      <c r="J18" s="17"/>
      <c r="K18" s="17"/>
      <c r="L18" s="16"/>
      <c r="M18" s="19"/>
      <c r="N18" s="17"/>
      <c r="O18" s="17"/>
      <c r="P18" s="20" t="n">
        <f aca="false">IFERROR(N18+O18,"")</f>
        <v>0</v>
      </c>
      <c r="Q18" s="16"/>
      <c r="R18" s="16"/>
      <c r="S18" s="16"/>
      <c r="T18" s="21" t="str">
        <f aca="false">IF(A18="","",IF(AND(C18="Sí",D18="Sí",IFERROR(G18&lt;=$X$4,FALSE()),IFERROR(J18&lt;=$X$5,FALSE()),IFERROR(P18&lt;=$X$6,FALSE()),IFERROR(R18&gt;=$X$7,FALSE())),"Sí","No"))</f>
        <v/>
      </c>
      <c r="U18" s="22" t="str">
        <f aca="false">IF(A18="","",IFERROR(ROUND((IF(C18="Sí",20,0))+(IF(D18="Sí",20,0))+(IF(G18&gt;0,MAX(0,20-G18),0))+(IF(J18&gt;0,MAX(0,15-(J18/10)),0))+(IF(P18&gt;0,MAX(0,15-(P18/5)),0))+(R18*2),1),0))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8"/>
      <c r="G19" s="19"/>
      <c r="H19" s="19"/>
      <c r="I19" s="19"/>
      <c r="J19" s="17"/>
      <c r="K19" s="17"/>
      <c r="L19" s="16"/>
      <c r="M19" s="19"/>
      <c r="N19" s="17"/>
      <c r="O19" s="17"/>
      <c r="P19" s="20" t="n">
        <f aca="false">IFERROR(N19+O19,"")</f>
        <v>0</v>
      </c>
      <c r="Q19" s="16"/>
      <c r="R19" s="16"/>
      <c r="S19" s="16"/>
      <c r="T19" s="21" t="str">
        <f aca="false">IF(A19="","",IF(AND(C19="Sí",D19="Sí",IFERROR(G19&lt;=$X$4,FALSE()),IFERROR(J19&lt;=$X$5,FALSE()),IFERROR(P19&lt;=$X$6,FALSE()),IFERROR(R19&gt;=$X$7,FALSE())),"Sí","No"))</f>
        <v/>
      </c>
      <c r="U19" s="22" t="str">
        <f aca="false">IF(A19="","",IFERROR(ROUND((IF(C19="Sí",20,0))+(IF(D19="Sí",20,0))+(IF(G19&gt;0,MAX(0,20-G19),0))+(IF(J19&gt;0,MAX(0,15-(J19/10)),0))+(IF(P19&gt;0,MAX(0,15-(P19/5)),0))+(R19*2),1),0))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8"/>
      <c r="G20" s="19"/>
      <c r="H20" s="19"/>
      <c r="I20" s="19"/>
      <c r="J20" s="17"/>
      <c r="K20" s="17"/>
      <c r="L20" s="16"/>
      <c r="M20" s="19"/>
      <c r="N20" s="17"/>
      <c r="O20" s="17"/>
      <c r="P20" s="20" t="n">
        <f aca="false">IFERROR(N20+O20,"")</f>
        <v>0</v>
      </c>
      <c r="Q20" s="16"/>
      <c r="R20" s="16"/>
      <c r="S20" s="16"/>
      <c r="T20" s="21" t="str">
        <f aca="false">IF(A20="","",IF(AND(C20="Sí",D20="Sí",IFERROR(G20&lt;=$X$4,FALSE()),IFERROR(J20&lt;=$X$5,FALSE()),IFERROR(P20&lt;=$X$6,FALSE()),IFERROR(R20&gt;=$X$7,FALSE())),"Sí","No"))</f>
        <v/>
      </c>
      <c r="U20" s="22" t="str">
        <f aca="false">IF(A20="","",IFERROR(ROUND((IF(C20="Sí",20,0))+(IF(D20="Sí",20,0))+(IF(G20&gt;0,MAX(0,20-G20),0))+(IF(J20&gt;0,MAX(0,15-(J20/10)),0))+(IF(P20&gt;0,MAX(0,15-(P20/5)),0))+(R20*2),1),0))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8"/>
      <c r="G21" s="19"/>
      <c r="H21" s="19"/>
      <c r="I21" s="19"/>
      <c r="J21" s="17"/>
      <c r="K21" s="17"/>
      <c r="L21" s="16"/>
      <c r="M21" s="19"/>
      <c r="N21" s="17"/>
      <c r="O21" s="17"/>
      <c r="P21" s="20" t="n">
        <f aca="false">IFERROR(N21+O21,"")</f>
        <v>0</v>
      </c>
      <c r="Q21" s="16"/>
      <c r="R21" s="16"/>
      <c r="S21" s="16"/>
      <c r="T21" s="21" t="str">
        <f aca="false">IF(A21="","",IF(AND(C21="Sí",D21="Sí",IFERROR(G21&lt;=$X$4,FALSE()),IFERROR(J21&lt;=$X$5,FALSE()),IFERROR(P21&lt;=$X$6,FALSE()),IFERROR(R21&gt;=$X$7,FALSE())),"Sí","No"))</f>
        <v/>
      </c>
      <c r="U21" s="22" t="str">
        <f aca="false">IF(A21="","",IFERROR(ROUND((IF(C21="Sí",20,0))+(IF(D21="Sí",20,0))+(IF(G21&gt;0,MAX(0,20-G21),0))+(IF(J21&gt;0,MAX(0,15-(J21/10)),0))+(IF(P21&gt;0,MAX(0,15-(P21/5)),0))+(R21*2),1),0))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8"/>
      <c r="G22" s="19"/>
      <c r="H22" s="19"/>
      <c r="I22" s="19"/>
      <c r="J22" s="17"/>
      <c r="K22" s="17"/>
      <c r="L22" s="16"/>
      <c r="M22" s="19"/>
      <c r="N22" s="17"/>
      <c r="O22" s="17"/>
      <c r="P22" s="20" t="n">
        <f aca="false">IFERROR(N22+O22,"")</f>
        <v>0</v>
      </c>
      <c r="Q22" s="16"/>
      <c r="R22" s="16"/>
      <c r="S22" s="16"/>
      <c r="T22" s="21" t="str">
        <f aca="false">IF(A22="","",IF(AND(C22="Sí",D22="Sí",IFERROR(G22&lt;=$X$4,FALSE()),IFERROR(J22&lt;=$X$5,FALSE()),IFERROR(P22&lt;=$X$6,FALSE()),IFERROR(R22&gt;=$X$7,FALSE())),"Sí","No"))</f>
        <v/>
      </c>
      <c r="U22" s="22" t="str">
        <f aca="false">IF(A22="","",IFERROR(ROUND((IF(C22="Sí",20,0))+(IF(D22="Sí",20,0))+(IF(G22&gt;0,MAX(0,20-G22),0))+(IF(J22&gt;0,MAX(0,15-(J22/10)),0))+(IF(P22&gt;0,MAX(0,15-(P22/5)),0))+(R22*2),1),0))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8"/>
      <c r="G23" s="19"/>
      <c r="H23" s="19"/>
      <c r="I23" s="19"/>
      <c r="J23" s="17"/>
      <c r="K23" s="17"/>
      <c r="L23" s="16"/>
      <c r="M23" s="19"/>
      <c r="N23" s="17"/>
      <c r="O23" s="17"/>
      <c r="P23" s="20" t="n">
        <f aca="false">IFERROR(N23+O23,"")</f>
        <v>0</v>
      </c>
      <c r="Q23" s="16"/>
      <c r="R23" s="16"/>
      <c r="S23" s="16"/>
      <c r="T23" s="21" t="str">
        <f aca="false">IF(A23="","",IF(AND(C23="Sí",D23="Sí",IFERROR(G23&lt;=$X$4,FALSE()),IFERROR(J23&lt;=$X$5,FALSE()),IFERROR(P23&lt;=$X$6,FALSE()),IFERROR(R23&gt;=$X$7,FALSE())),"Sí","No"))</f>
        <v/>
      </c>
      <c r="U23" s="22" t="str">
        <f aca="false">IF(A23="","",IFERROR(ROUND((IF(C23="Sí",20,0))+(IF(D23="Sí",20,0))+(IF(G23&gt;0,MAX(0,20-G23),0))+(IF(J23&gt;0,MAX(0,15-(J23/10)),0))+(IF(P23&gt;0,MAX(0,15-(P23/5)),0))+(R23*2),1),0))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8"/>
      <c r="G24" s="19"/>
      <c r="H24" s="19"/>
      <c r="I24" s="19"/>
      <c r="J24" s="17"/>
      <c r="K24" s="17"/>
      <c r="L24" s="16"/>
      <c r="M24" s="19"/>
      <c r="N24" s="17"/>
      <c r="O24" s="17"/>
      <c r="P24" s="20" t="n">
        <f aca="false">IFERROR(N24+O24,"")</f>
        <v>0</v>
      </c>
      <c r="Q24" s="16"/>
      <c r="R24" s="16"/>
      <c r="S24" s="16"/>
      <c r="T24" s="21" t="str">
        <f aca="false">IF(A24="","",IF(AND(C24="Sí",D24="Sí",IFERROR(G24&lt;=$X$4,FALSE()),IFERROR(J24&lt;=$X$5,FALSE()),IFERROR(P24&lt;=$X$6,FALSE()),IFERROR(R24&gt;=$X$7,FALSE())),"Sí","No"))</f>
        <v/>
      </c>
      <c r="U24" s="22" t="str">
        <f aca="false">IF(A24="","",IFERROR(ROUND((IF(C24="Sí",20,0))+(IF(D24="Sí",20,0))+(IF(G24&gt;0,MAX(0,20-G24),0))+(IF(J24&gt;0,MAX(0,15-(J24/10)),0))+(IF(P24&gt;0,MAX(0,15-(P24/5)),0))+(R24*2),1),0))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8"/>
      <c r="G25" s="19"/>
      <c r="H25" s="19"/>
      <c r="I25" s="19"/>
      <c r="J25" s="17"/>
      <c r="K25" s="17"/>
      <c r="L25" s="16"/>
      <c r="M25" s="19"/>
      <c r="N25" s="17"/>
      <c r="O25" s="17"/>
      <c r="P25" s="20" t="n">
        <f aca="false">IFERROR(N25+O25,"")</f>
        <v>0</v>
      </c>
      <c r="Q25" s="16"/>
      <c r="R25" s="16"/>
      <c r="S25" s="16"/>
      <c r="T25" s="21" t="str">
        <f aca="false">IF(A25="","",IF(AND(C25="Sí",D25="Sí",IFERROR(G25&lt;=$X$4,FALSE()),IFERROR(J25&lt;=$X$5,FALSE()),IFERROR(P25&lt;=$X$6,FALSE()),IFERROR(R25&gt;=$X$7,FALSE())),"Sí","No"))</f>
        <v/>
      </c>
      <c r="U25" s="22" t="str">
        <f aca="false">IF(A25="","",IFERROR(ROUND((IF(C25="Sí",20,0))+(IF(D25="Sí",20,0))+(IF(G25&gt;0,MAX(0,20-G25),0))+(IF(J25&gt;0,MAX(0,15-(J25/10)),0))+(IF(P25&gt;0,MAX(0,15-(P25/5)),0))+(R25*2),1),0))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8"/>
      <c r="G26" s="19"/>
      <c r="H26" s="19"/>
      <c r="I26" s="19"/>
      <c r="J26" s="17"/>
      <c r="K26" s="17"/>
      <c r="L26" s="16"/>
      <c r="M26" s="19"/>
      <c r="N26" s="17"/>
      <c r="O26" s="17"/>
      <c r="P26" s="20" t="n">
        <f aca="false">IFERROR(N26+O26,"")</f>
        <v>0</v>
      </c>
      <c r="Q26" s="16"/>
      <c r="R26" s="16"/>
      <c r="S26" s="16"/>
      <c r="T26" s="21" t="str">
        <f aca="false">IF(A26="","",IF(AND(C26="Sí",D26="Sí",IFERROR(G26&lt;=$X$4,FALSE()),IFERROR(J26&lt;=$X$5,FALSE()),IFERROR(P26&lt;=$X$6,FALSE()),IFERROR(R26&gt;=$X$7,FALSE())),"Sí","No"))</f>
        <v/>
      </c>
      <c r="U26" s="22" t="str">
        <f aca="false">IF(A26="","",IFERROR(ROUND((IF(C26="Sí",20,0))+(IF(D26="Sí",20,0))+(IF(G26&gt;0,MAX(0,20-G26),0))+(IF(J26&gt;0,MAX(0,15-(J26/10)),0))+(IF(P26&gt;0,MAX(0,15-(P26/5)),0))+(R26*2),1),0))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8"/>
      <c r="G27" s="19"/>
      <c r="H27" s="19"/>
      <c r="I27" s="19"/>
      <c r="J27" s="17"/>
      <c r="K27" s="17"/>
      <c r="L27" s="16"/>
      <c r="M27" s="19"/>
      <c r="N27" s="17"/>
      <c r="O27" s="17"/>
      <c r="P27" s="20" t="n">
        <f aca="false">IFERROR(N27+O27,"")</f>
        <v>0</v>
      </c>
      <c r="Q27" s="16"/>
      <c r="R27" s="16"/>
      <c r="S27" s="16"/>
      <c r="T27" s="21" t="str">
        <f aca="false">IF(A27="","",IF(AND(C27="Sí",D27="Sí",IFERROR(G27&lt;=$X$4,FALSE()),IFERROR(J27&lt;=$X$5,FALSE()),IFERROR(P27&lt;=$X$6,FALSE()),IFERROR(R27&gt;=$X$7,FALSE())),"Sí","No"))</f>
        <v/>
      </c>
      <c r="U27" s="22" t="str">
        <f aca="false">IF(A27="","",IFERROR(ROUND((IF(C27="Sí",20,0))+(IF(D27="Sí",20,0))+(IF(G27&gt;0,MAX(0,20-G27),0))+(IF(J27&gt;0,MAX(0,15-(J27/10)),0))+(IF(P27&gt;0,MAX(0,15-(P27/5)),0))+(R27*2),1),0))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8"/>
      <c r="G28" s="19"/>
      <c r="H28" s="19"/>
      <c r="I28" s="19"/>
      <c r="J28" s="17"/>
      <c r="K28" s="17"/>
      <c r="L28" s="16"/>
      <c r="M28" s="19"/>
      <c r="N28" s="17"/>
      <c r="O28" s="17"/>
      <c r="P28" s="20" t="n">
        <f aca="false">IFERROR(N28+O28,"")</f>
        <v>0</v>
      </c>
      <c r="Q28" s="16"/>
      <c r="R28" s="16"/>
      <c r="S28" s="16"/>
      <c r="T28" s="21" t="str">
        <f aca="false">IF(A28="","",IF(AND(C28="Sí",D28="Sí",IFERROR(G28&lt;=$X$4,FALSE()),IFERROR(J28&lt;=$X$5,FALSE()),IFERROR(P28&lt;=$X$6,FALSE()),IFERROR(R28&gt;=$X$7,FALSE())),"Sí","No"))</f>
        <v/>
      </c>
      <c r="U28" s="22" t="str">
        <f aca="false">IF(A28="","",IFERROR(ROUND((IF(C28="Sí",20,0))+(IF(D28="Sí",20,0))+(IF(G28&gt;0,MAX(0,20-G28),0))+(IF(J28&gt;0,MAX(0,15-(J28/10)),0))+(IF(P28&gt;0,MAX(0,15-(P28/5)),0))+(R28*2),1),0))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8"/>
      <c r="G29" s="19"/>
      <c r="H29" s="19"/>
      <c r="I29" s="19"/>
      <c r="J29" s="17"/>
      <c r="K29" s="17"/>
      <c r="L29" s="16"/>
      <c r="M29" s="19"/>
      <c r="N29" s="17"/>
      <c r="O29" s="17"/>
      <c r="P29" s="20" t="n">
        <f aca="false">IFERROR(N29+O29,"")</f>
        <v>0</v>
      </c>
      <c r="Q29" s="16"/>
      <c r="R29" s="16"/>
      <c r="S29" s="16"/>
      <c r="T29" s="21" t="str">
        <f aca="false">IF(A29="","",IF(AND(C29="Sí",D29="Sí",IFERROR(G29&lt;=$X$4,FALSE()),IFERROR(J29&lt;=$X$5,FALSE()),IFERROR(P29&lt;=$X$6,FALSE()),IFERROR(R29&gt;=$X$7,FALSE())),"Sí","No"))</f>
        <v/>
      </c>
      <c r="U29" s="22" t="str">
        <f aca="false">IF(A29="","",IFERROR(ROUND((IF(C29="Sí",20,0))+(IF(D29="Sí",20,0))+(IF(G29&gt;0,MAX(0,20-G29),0))+(IF(J29&gt;0,MAX(0,15-(J29/10)),0))+(IF(P29&gt;0,MAX(0,15-(P29/5)),0))+(R29*2),1),0))</f>
        <v/>
      </c>
    </row>
  </sheetData>
  <mergeCells count="2">
    <mergeCell ref="A1:U1"/>
    <mergeCell ref="A2:U2"/>
  </mergeCells>
  <conditionalFormatting sqref="T5:T29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</conditionalFormatting>
  <dataValidations count="2">
    <dataValidation allowBlank="true" errorStyle="stop" operator="between" showDropDown="false" showErrorMessage="false" showInputMessage="false" sqref="C5:D29 Q5:Q29" type="list">
      <formula1>"Sí,No"</formula1>
      <formula2>0</formula2>
    </dataValidation>
    <dataValidation allowBlank="true" errorStyle="stop" operator="between" showDropDown="false" showErrorMessage="false" showInputMessage="false" sqref="R5:R2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</cols>
  <sheetData>
    <row r="1" customFormat="false" ht="19.7" hidden="false" customHeight="false" outlineLevel="0" collapsed="false">
      <c r="A1" s="10" t="s">
        <v>62</v>
      </c>
      <c r="B1" s="10"/>
    </row>
    <row r="2" customFormat="false" ht="15" hidden="false" customHeight="false" outlineLevel="0" collapsed="false">
      <c r="A2" s="11" t="s">
        <v>63</v>
      </c>
      <c r="B2" s="11"/>
    </row>
    <row r="4" customFormat="false" ht="15" hidden="false" customHeight="false" outlineLevel="0" collapsed="false">
      <c r="A4" s="23" t="s">
        <v>64</v>
      </c>
      <c r="B4" s="24" t="n">
        <f aca="false">COUNTIF('Comparativa Proveedores'!$A$5:$A$29,"&lt;&gt;")</f>
        <v>8</v>
      </c>
    </row>
    <row r="6" customFormat="false" ht="15" hidden="false" customHeight="false" outlineLevel="0" collapsed="false">
      <c r="A6" s="23" t="s">
        <v>65</v>
      </c>
      <c r="B6" s="24" t="n">
        <f aca="false">COUNTIF('Comparativa Proveedores'!$T$5:$T$29,"Sí")</f>
        <v>0</v>
      </c>
    </row>
    <row r="8" customFormat="false" ht="15" hidden="false" customHeight="false" outlineLevel="0" collapsed="false">
      <c r="A8" s="23" t="s">
        <v>66</v>
      </c>
      <c r="B8" s="25" t="n">
        <f aca="false">IFERROR(_xlfn.MINIFS('Comparativa Proveedores'!$G$5:$G$29,'Comparativa Proveedores'!$G$5:$G$29,"&gt;0"),"-")</f>
        <v>9.8</v>
      </c>
    </row>
    <row r="10" customFormat="false" ht="15" hidden="false" customHeight="false" outlineLevel="0" collapsed="false">
      <c r="A10" s="23" t="s">
        <v>67</v>
      </c>
      <c r="B10" s="24" t="str">
        <f aca="false">IFERROR(INDEX('Comparativa Proveedores'!$A$5:$A$29,MATCH(MAX('Comparativa Proveedores'!$U$5:$U$29),'Comparativa Proveedores'!$U$5:$U$29,0)),"Agrega proveedores primero")</f>
        <v>EJEMPLO — Proveedor Modelo Co., Ltd.</v>
      </c>
    </row>
    <row r="12" customFormat="false" ht="15" hidden="false" customHeight="false" outlineLevel="0" collapsed="false">
      <c r="A12" s="23" t="s">
        <v>68</v>
      </c>
      <c r="B12" s="24" t="n">
        <f aca="false">IFERROR(MAX('Comparativa Proveedores'!$U$5:$U$29),"-")</f>
        <v>74.2</v>
      </c>
    </row>
    <row r="14" customFormat="false" ht="15" hidden="false" customHeight="false" outlineLevel="0" collapsed="false">
      <c r="A14" s="26" t="s">
        <v>69</v>
      </c>
    </row>
    <row r="15" customFormat="false" ht="30" hidden="false" customHeight="true" outlineLevel="0" collapsed="false">
      <c r="A15" s="27" t="s">
        <v>70</v>
      </c>
      <c r="B15" s="27"/>
    </row>
  </sheetData>
  <mergeCells count="3">
    <mergeCell ref="A1:B1"/>
    <mergeCell ref="A2:B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2026-09-07T16:00:32Z</dcterms:created>
  <dc:creator>openpyxl</dc:creator>
  <dc:description/>
  <dc:language>en-US</dc:language>
  <cp:lastModifiedBy/>
  <dcterms:modified xsi:type="dcterms:W3CDTF">2026-09-07T16:00:32Z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